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workbookProtection/>
  <bookViews>
    <workbookView visibility="visible" minimized="0" showHorizontalScroll="1" showVerticalScroll="1" showSheetTabs="1" tabRatio="600" firstSheet="0" activeTab="0" autoFilterDateGrouping="1"/>
  </bookViews>
  <sheets>
    <sheet name="TestCases" sheetId="1" state="visible" r:id="rId1"/>
    <sheet name="Execution" sheetId="2" state="visible" r:id="rId2"/>
    <sheet name="Summary" sheetId="3" state="visible" r:id="rId3"/>
  </sheets>
  <definedNames>
    <definedName name="_xlnm._FilterDatabase" localSheetId="0" hidden="1">'TestCases'!$A$1:$M$7</definedName>
    <definedName name="_xlnm._FilterDatabase" localSheetId="1" hidden="1">'Execution'!$A$1:$I$31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5"/>
    </font>
    <font>
      <name val="Calibri"/>
      <family val="2"/>
      <color rgb="FF000000"/>
      <sz val="11"/>
      <vertAlign val="baseline"/>
    </font>
  </fonts>
  <fills count="3">
    <fill>
      <patternFill/>
    </fill>
    <fill>
      <patternFill patternType="gray125"/>
    </fill>
    <fill>
      <patternFill patternType="solid">
        <fgColor rgb="0017365D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0" fontId="2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general" vertical="center" wrapText="1"/>
    </xf>
    <xf numFmtId="0" fontId="0" fillId="0" borderId="1" applyAlignment="1" pivotButton="0" quotePrefix="0" xfId="0">
      <alignment horizontal="general" vertical="top" wrapText="1"/>
    </xf>
    <xf numFmtId="0" fontId="2" fillId="2" borderId="0" applyAlignment="1" pivotButton="0" quotePrefix="0" xfId="0">
      <alignment horizontal="general" vertical="bottom"/>
    </xf>
    <xf numFmtId="0" fontId="1" fillId="2" borderId="0" applyAlignment="1" pivotButton="0" quotePrefix="0" xfId="0">
      <alignment horizontal="general" vertical="bottom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"/>
  <sheetViews>
    <sheetView showGridLines="0" workbookViewId="0">
      <pane xSplit="0" ySplit="1" topLeftCell="A2" activePane="bottomLeft" state="frozenSplit"/>
      <selection activeCell="A1" sqref="A1"/>
      <selection pane="bottomLeft" activeCell="A1" sqref="A1"/>
    </sheetView>
  </sheetViews>
  <sheetFormatPr baseColWidth="8" defaultColWidth="9.140625" defaultRowHeight="15"/>
  <cols>
    <col width="18" customWidth="1" min="1" max="1"/>
    <col width="22" customWidth="1" min="2" max="2"/>
    <col width="34" customWidth="1" min="3" max="3"/>
    <col width="38" customWidth="1" min="4" max="4"/>
    <col width="42" customWidth="1" min="5" max="5"/>
    <col width="30" customWidth="1" min="6" max="6"/>
    <col width="22" customWidth="1" min="7" max="7"/>
    <col width="55" customWidth="1" min="8" max="9"/>
    <col width="65" customWidth="1" min="10" max="10"/>
    <col width="16" customWidth="1" min="11" max="11"/>
    <col width="21" customWidth="1" min="12" max="12"/>
    <col width="38" customWidth="1" min="13" max="13"/>
  </cols>
  <sheetData>
    <row r="1" ht="36" customHeight="1">
      <c r="A1" s="5" t="inlineStr">
        <is>
          <t>Test Case ID</t>
        </is>
      </c>
      <c r="B1" s="5" t="inlineStr">
        <is>
          <t>Nhóm kiểm thử</t>
        </is>
      </c>
      <c r="C1" s="5" t="inlineStr">
        <is>
          <t>Tên test case</t>
        </is>
      </c>
      <c r="D1" s="5" t="inlineStr">
        <is>
          <t>Mục tiêu</t>
        </is>
      </c>
      <c r="E1" s="5" t="inlineStr">
        <is>
          <t>Điều kiện tiên quyết</t>
        </is>
      </c>
      <c r="F1" s="5" t="inlineStr">
        <is>
          <t>Dữ liệu username</t>
        </is>
      </c>
      <c r="G1" s="5" t="inlineStr">
        <is>
          <t>Dữ liệu password giả</t>
        </is>
      </c>
      <c r="H1" s="5" t="inlineStr">
        <is>
          <t>Các bước thực hiện</t>
        </is>
      </c>
      <c r="I1" s="5" t="inlineStr">
        <is>
          <t>Kết quả mong đợi</t>
        </is>
      </c>
      <c r="J1" s="5" t="inlineStr">
        <is>
          <t>Cơ sở xác định kết quả mong đợi</t>
        </is>
      </c>
      <c r="K1" s="5" t="inlineStr">
        <is>
          <t>Mức ưu tiên</t>
        </is>
      </c>
      <c r="L1" s="5" t="inlineStr">
        <is>
          <t>Khả năng automation</t>
        </is>
      </c>
      <c r="M1" s="5" t="inlineStr">
        <is>
          <t>Tên phương thức test tương ứng</t>
        </is>
      </c>
    </row>
    <row r="2" ht="94" customHeight="1">
      <c r="A2" s="6" t="inlineStr">
        <is>
          <t>TC-LOGIN-001</t>
        </is>
      </c>
      <c r="B2" s="6" t="inlineStr">
        <is>
          <t>Validation server</t>
        </is>
      </c>
      <c r="C2" s="6" t="inlineStr">
        <is>
          <t>Bỏ trống cả hai trường</t>
        </is>
      </c>
      <c r="D2" s="6" t="inlineStr">
        <is>
          <t>Xác nhận lỗi khi không nhập username/password</t>
        </is>
      </c>
      <c r="E2" s="6" t="inlineStr">
        <is>
          <t>Truy cập được trang; không có CAPTCHA/khóa/rate limit.</t>
        </is>
      </c>
      <c r="F2" s="6" t="n"/>
      <c r="G2" s="6" t="n"/>
      <c r="H2" s="6" t="inlineStr">
        <is>
          <t>1. Mở https://vanphongdientu.utc.edu.vn/Login
2. Nhập dữ liệu trong cột username/password
3. Gửi form
4. Chờ phản hồi
5. Kiểm tra lỗi và form</t>
        </is>
      </c>
      <c r="I2" s="6" t="inlineStr">
        <is>
          <t>Hiển thị div.error: “Bạn chưa nhập tên đăng nhập”; form đăng nhập vẫn hiển thị.</t>
        </is>
      </c>
      <c r="J2" s="6" t="inlineStr">
        <is>
          <t>DOM và hành vi quan sát bằng Chrome headless ngày 08/10/2026; không phải yêu cầu sản phẩm đã xác nhận.</t>
        </is>
      </c>
      <c r="K2" s="6" t="inlineStr">
        <is>
          <t>Critical</t>
        </is>
      </c>
      <c r="L2" s="6" t="inlineStr">
        <is>
          <t>Có</t>
        </is>
      </c>
      <c r="M2" s="6" t="inlineStr">
        <is>
          <t>BothFieldsEmptyShowsServerValidation</t>
        </is>
      </c>
    </row>
    <row r="3" ht="94" customHeight="1">
      <c r="A3" s="6" t="inlineStr">
        <is>
          <t>TC-LOGIN-002</t>
        </is>
      </c>
      <c r="B3" s="6" t="inlineStr">
        <is>
          <t>Validation server</t>
        </is>
      </c>
      <c r="C3" s="6" t="inlineStr">
        <is>
          <t>Có username giả, bỏ trống mật khẩu</t>
        </is>
      </c>
      <c r="D3" s="6" t="inlineStr">
        <is>
          <t>Xác nhận lỗi thiếu mật khẩu</t>
        </is>
      </c>
      <c r="E3" s="6" t="inlineStr">
        <is>
          <t>Truy cập được trang; không có CAPTCHA/khóa/rate limit.</t>
        </is>
      </c>
      <c r="F3" s="6" t="inlineStr">
        <is>
          <t>utc_qa_nonexistent_20261008</t>
        </is>
      </c>
      <c r="G3" s="6" t="n"/>
      <c r="H3" s="6" t="inlineStr">
        <is>
          <t>1. Mở https://vanphongdientu.utc.edu.vn/Login
2. Nhập dữ liệu trong cột username/password
3. Gửi form
4. Chờ phản hồi
5. Kiểm tra lỗi và form</t>
        </is>
      </c>
      <c r="I3" s="6" t="inlineStr">
        <is>
          <t>Hiển thị div.error: “Bạn chưa nhập mật khẩu”; form đăng nhập vẫn hiển thị.</t>
        </is>
      </c>
      <c r="J3" s="6" t="inlineStr">
        <is>
          <t>DOM và hành vi quan sát bằng Chrome headless ngày 08/10/2026; không phải yêu cầu sản phẩm đã xác nhận.</t>
        </is>
      </c>
      <c r="K3" s="6" t="inlineStr">
        <is>
          <t>Critical</t>
        </is>
      </c>
      <c r="L3" s="6" t="inlineStr">
        <is>
          <t>Có</t>
        </is>
      </c>
      <c r="M3" s="6" t="inlineStr">
        <is>
          <t>PasswordEmptyShowsServerValidation</t>
        </is>
      </c>
    </row>
    <row r="4" ht="94" customHeight="1">
      <c r="A4" s="6" t="inlineStr">
        <is>
          <t>TC-LOGIN-003</t>
        </is>
      </c>
      <c r="B4" s="6" t="inlineStr">
        <is>
          <t>Validation server</t>
        </is>
      </c>
      <c r="C4" s="6" t="inlineStr">
        <is>
          <t>Bỏ trống username, có mật khẩu giả</t>
        </is>
      </c>
      <c r="D4" s="6" t="inlineStr">
        <is>
          <t>Xác nhận lỗi thiếu username</t>
        </is>
      </c>
      <c r="E4" s="6" t="inlineStr">
        <is>
          <t>Truy cập được trang; không có CAPTCHA/khóa/rate limit.</t>
        </is>
      </c>
      <c r="F4" s="6" t="n"/>
      <c r="G4" s="6" t="inlineStr">
        <is>
          <t>TestOnly!2026</t>
        </is>
      </c>
      <c r="H4" s="6" t="inlineStr">
        <is>
          <t>1. Mở https://vanphongdientu.utc.edu.vn/Login
2. Nhập dữ liệu trong cột username/password
3. Gửi form
4. Chờ phản hồi
5. Kiểm tra lỗi và form</t>
        </is>
      </c>
      <c r="I4" s="6" t="inlineStr">
        <is>
          <t>Hiển thị div.error: “Bạn chưa nhập tên đăng nhập”; form đăng nhập vẫn hiển thị.</t>
        </is>
      </c>
      <c r="J4" s="6" t="inlineStr">
        <is>
          <t>DOM và hành vi quan sát bằng Chrome headless ngày 08/10/2026; không phải yêu cầu sản phẩm đã xác nhận.</t>
        </is>
      </c>
      <c r="K4" s="6" t="inlineStr">
        <is>
          <t>Critical</t>
        </is>
      </c>
      <c r="L4" s="6" t="inlineStr">
        <is>
          <t>Có</t>
        </is>
      </c>
      <c r="M4" s="6" t="inlineStr">
        <is>
          <t>UsernameEmptyShowsServerValidation</t>
        </is>
      </c>
    </row>
    <row r="5" ht="94" customHeight="1">
      <c r="A5" s="6" t="inlineStr">
        <is>
          <t>TC-LOGIN-004</t>
        </is>
      </c>
      <c r="B5" s="6" t="inlineStr">
        <is>
          <t>Xác thực thất bại</t>
        </is>
      </c>
      <c r="C5" s="6" t="inlineStr">
        <is>
          <t>Tài khoản giả dùng riêng cho kiểm thử</t>
        </is>
      </c>
      <c r="D5" s="6" t="inlineStr">
        <is>
          <t>Xác nhận phản hồi xác thực thất bại</t>
        </is>
      </c>
      <c r="E5" s="6" t="inlineStr">
        <is>
          <t>Truy cập được trang; không có CAPTCHA/khóa/rate limit.</t>
        </is>
      </c>
      <c r="F5" s="6" t="inlineStr">
        <is>
          <t>utc_qa_nonexistent_20261008</t>
        </is>
      </c>
      <c r="G5" s="6" t="inlineStr">
        <is>
          <t>TestOnly!2026</t>
        </is>
      </c>
      <c r="H5" s="6" t="inlineStr">
        <is>
          <t>1. Mở https://vanphongdientu.utc.edu.vn/Login
2. Nhập dữ liệu trong cột username/password
3. Gửi form
4. Chờ phản hồi
5. Kiểm tra lỗi và form</t>
        </is>
      </c>
      <c r="I5" s="6" t="inlineStr">
        <is>
          <t>Hiển thị div.error: “Tài khoản hoặc mật khẩu không đúng.”; form đăng nhập vẫn hiển thị.</t>
        </is>
      </c>
      <c r="J5" s="6" t="inlineStr">
        <is>
          <t>DOM và hành vi quan sát bằng Chrome headless ngày 08/10/2026; không phải yêu cầu sản phẩm đã xác nhận.</t>
        </is>
      </c>
      <c r="K5" s="6" t="inlineStr">
        <is>
          <t>Critical</t>
        </is>
      </c>
      <c r="L5" s="6" t="inlineStr">
        <is>
          <t>Có</t>
        </is>
      </c>
      <c r="M5" s="6" t="inlineStr">
        <is>
          <t>FakeAccountShowsAuthenticationError</t>
        </is>
      </c>
    </row>
    <row r="6" ht="94" customHeight="1">
      <c r="A6" s="6" t="inlineStr">
        <is>
          <t>TC-LOGIN-005</t>
        </is>
      </c>
      <c r="B6" s="6" t="inlineStr">
        <is>
          <t>Xác thực thất bại</t>
        </is>
      </c>
      <c r="C6" s="6" t="inlineStr">
        <is>
          <t>Hai trường chỉ chứa khoảng trắng</t>
        </is>
      </c>
      <c r="D6" s="6" t="inlineStr">
        <is>
          <t>Xác nhận hành vi thực tế với khoảng trắng</t>
        </is>
      </c>
      <c r="E6" s="6" t="inlineStr">
        <is>
          <t>Truy cập được trang; không có CAPTCHA/khóa/rate limit.</t>
        </is>
      </c>
      <c r="F6" s="6" t="inlineStr">
        <is>
          <t>[3 dấu cách]</t>
        </is>
      </c>
      <c r="G6" s="6" t="inlineStr">
        <is>
          <t>[3 dấu cách]</t>
        </is>
      </c>
      <c r="H6" s="6" t="inlineStr">
        <is>
          <t>1. Mở https://vanphongdientu.utc.edu.vn/Login
2. Nhập dữ liệu trong cột username/password
3. Gửi form
4. Chờ phản hồi
5. Kiểm tra lỗi và form</t>
        </is>
      </c>
      <c r="I6" s="6" t="inlineStr">
        <is>
          <t>Hiển thị div.error: “Tài khoản hoặc mật khẩu không đúng.”; form đăng nhập vẫn hiển thị.</t>
        </is>
      </c>
      <c r="J6" s="6" t="inlineStr">
        <is>
          <t>DOM và hành vi quan sát bằng Chrome headless ngày 08/10/2026; không phải yêu cầu sản phẩm đã xác nhận.</t>
        </is>
      </c>
      <c r="K6" s="6" t="inlineStr">
        <is>
          <t>Normal</t>
        </is>
      </c>
      <c r="L6" s="6" t="inlineStr">
        <is>
          <t>Có</t>
        </is>
      </c>
      <c r="M6" s="6" t="inlineStr">
        <is>
          <t>WhitespaceFieldsShowAuthenticationError</t>
        </is>
      </c>
    </row>
    <row r="7" ht="94" customHeight="1">
      <c r="A7" s="6" t="inlineStr">
        <is>
          <t>TC-LOGIN-006</t>
        </is>
      </c>
      <c r="B7" s="6" t="inlineStr">
        <is>
          <t>Giao diện</t>
        </is>
      </c>
      <c r="C7" s="6" t="inlineStr">
        <is>
          <t>Mật khẩu được che</t>
        </is>
      </c>
      <c r="D7" s="6" t="inlineStr">
        <is>
          <t>Xác nhận ô mật khẩu che ký tự khi nhập</t>
        </is>
      </c>
      <c r="E7" s="6" t="inlineStr">
        <is>
          <t>Truy cập được trang; không có CAPTCHA/khóa/rate limit.</t>
        </is>
      </c>
      <c r="F7" s="6" t="n"/>
      <c r="G7" s="6" t="inlineStr">
        <is>
          <t>TestOnly!2026</t>
        </is>
      </c>
      <c r="H7" s="6" t="inlineStr">
        <is>
          <t>1. Mở https://vanphongdientu.utc.edu.vn/Login
2. Nhập dữ liệu trong cột username/password
3. Kiểm tra kiểu ô mật khẩu; không gửi form</t>
        </is>
      </c>
      <c r="I7" s="6" t="inlineStr">
        <is>
          <t>Ô mật khẩu có type=password sau khi nhập; không gửi form.</t>
        </is>
      </c>
      <c r="J7" s="6" t="inlineStr">
        <is>
          <t>DOM và hành vi quan sát bằng Chrome headless ngày 08/10/2026; không phải yêu cầu sản phẩm đã xác nhận.</t>
        </is>
      </c>
      <c r="K7" s="6" t="inlineStr">
        <is>
          <t>Normal</t>
        </is>
      </c>
      <c r="L7" s="6" t="inlineStr">
        <is>
          <t>Có</t>
        </is>
      </c>
      <c r="M7" s="6" t="inlineStr">
        <is>
          <t>PasswordInputIsMasked</t>
        </is>
      </c>
    </row>
  </sheetData>
  <autoFilter ref="A1:M7"/>
  <printOptions horizontalCentered="0" verticalCentered="0" headings="0" gridLines="0"/>
  <pageMargins left="0.75" right="0.75" top="1" bottom="1" header="0.5" footer="0.5"/>
  <pageSetup orientation="default" paperSize="1" scale="100" pageOrder="downThenOver" blackAndWhite="0" draft="0" errors="displayed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1"/>
  <sheetViews>
    <sheetView showGridLines="0" workbookViewId="0">
      <pane xSplit="0" ySplit="1" topLeftCell="A2" activePane="bottomLeft" state="frozenSplit"/>
      <selection activeCell="A1" sqref="A1"/>
      <selection pane="bottomLeft" activeCell="A1" sqref="A1"/>
    </sheetView>
  </sheetViews>
  <sheetFormatPr baseColWidth="8" defaultColWidth="9.140625" defaultRowHeight="15"/>
  <cols>
    <col width="24" customWidth="1" min="1" max="1"/>
    <col width="18" customWidth="1" min="2" max="2"/>
    <col width="29" customWidth="1" min="3" max="3"/>
    <col width="34" customWidth="1" min="4" max="4"/>
    <col width="55" customWidth="1" min="5" max="5"/>
    <col width="15" customWidth="1" min="6" max="6"/>
    <col width="55" customWidth="1" min="7" max="7"/>
    <col width="62" customWidth="1" min="8" max="9"/>
  </cols>
  <sheetData>
    <row r="1" ht="36" customHeight="1">
      <c r="A1" s="5" t="inlineStr">
        <is>
          <t>Run ID</t>
        </is>
      </c>
      <c r="B1" s="5" t="inlineStr">
        <is>
          <t>Test Case ID</t>
        </is>
      </c>
      <c r="C1" s="5" t="inlineStr">
        <is>
          <t>Thời điểm chạy và múi giờ</t>
        </is>
      </c>
      <c r="D1" s="5" t="inlineStr">
        <is>
          <t>Môi trường/trình duyệt</t>
        </is>
      </c>
      <c r="E1" s="5" t="inlineStr">
        <is>
          <t>Kết quả thực tế</t>
        </is>
      </c>
      <c r="F1" s="5" t="inlineStr">
        <is>
          <t>Trạng thái</t>
        </is>
      </c>
      <c r="G1" s="5" t="inlineStr">
        <is>
          <t>Nguyên nhân lỗi hoặc lý do chưa chạy</t>
        </is>
      </c>
      <c r="H1" s="5" t="inlineStr">
        <is>
          <t>Đường dẫn screenshot/evidence</t>
        </is>
      </c>
      <c r="I1" s="5" t="inlineStr">
        <is>
          <t>Đường dẫn hoặc mã tham chiếu kết quả Allure</t>
        </is>
      </c>
    </row>
    <row r="2" ht="42" customHeight="1">
      <c r="A2" s="6" t="inlineStr">
        <is>
          <t>INITIAL</t>
        </is>
      </c>
      <c r="B2" s="6" t="inlineStr">
        <is>
          <t>TC-LOGIN-001</t>
        </is>
      </c>
      <c r="C2" s="6" t="n"/>
      <c r="D2" s="6" t="n"/>
      <c r="E2" s="6" t="inlineStr">
        <is>
          <t>Chưa chạy project NUnit</t>
        </is>
      </c>
      <c r="F2" s="6" t="inlineStr">
        <is>
          <t>Not Run</t>
        </is>
      </c>
      <c r="G2" s="6" t="inlineStr">
        <is>
          <t>Chưa thực thi project kiểm thử</t>
        </is>
      </c>
      <c r="H2" s="6" t="n"/>
      <c r="I2" s="6" t="n"/>
    </row>
    <row r="3" ht="42" customHeight="1">
      <c r="A3" s="6" t="inlineStr">
        <is>
          <t>INITIAL</t>
        </is>
      </c>
      <c r="B3" s="6" t="inlineStr">
        <is>
          <t>TC-LOGIN-002</t>
        </is>
      </c>
      <c r="C3" s="6" t="n"/>
      <c r="D3" s="6" t="n"/>
      <c r="E3" s="6" t="inlineStr">
        <is>
          <t>Chưa chạy project NUnit</t>
        </is>
      </c>
      <c r="F3" s="6" t="inlineStr">
        <is>
          <t>Not Run</t>
        </is>
      </c>
      <c r="G3" s="6" t="inlineStr">
        <is>
          <t>Chưa thực thi project kiểm thử</t>
        </is>
      </c>
      <c r="H3" s="6" t="n"/>
      <c r="I3" s="6" t="n"/>
    </row>
    <row r="4" ht="42" customHeight="1">
      <c r="A4" s="6" t="inlineStr">
        <is>
          <t>INITIAL</t>
        </is>
      </c>
      <c r="B4" s="6" t="inlineStr">
        <is>
          <t>TC-LOGIN-003</t>
        </is>
      </c>
      <c r="C4" s="6" t="n"/>
      <c r="D4" s="6" t="n"/>
      <c r="E4" s="6" t="inlineStr">
        <is>
          <t>Chưa chạy project NUnit</t>
        </is>
      </c>
      <c r="F4" s="6" t="inlineStr">
        <is>
          <t>Not Run</t>
        </is>
      </c>
      <c r="G4" s="6" t="inlineStr">
        <is>
          <t>Chưa thực thi project kiểm thử</t>
        </is>
      </c>
      <c r="H4" s="6" t="n"/>
      <c r="I4" s="6" t="n"/>
    </row>
    <row r="5" ht="42" customHeight="1">
      <c r="A5" s="6" t="inlineStr">
        <is>
          <t>INITIAL</t>
        </is>
      </c>
      <c r="B5" s="6" t="inlineStr">
        <is>
          <t>TC-LOGIN-004</t>
        </is>
      </c>
      <c r="C5" s="6" t="n"/>
      <c r="D5" s="6" t="n"/>
      <c r="E5" s="6" t="inlineStr">
        <is>
          <t>Chưa chạy project NUnit</t>
        </is>
      </c>
      <c r="F5" s="6" t="inlineStr">
        <is>
          <t>Not Run</t>
        </is>
      </c>
      <c r="G5" s="6" t="inlineStr">
        <is>
          <t>Chưa thực thi project kiểm thử</t>
        </is>
      </c>
      <c r="H5" s="6" t="n"/>
      <c r="I5" s="6" t="n"/>
    </row>
    <row r="6" ht="42" customHeight="1">
      <c r="A6" s="6" t="inlineStr">
        <is>
          <t>INITIAL</t>
        </is>
      </c>
      <c r="B6" s="6" t="inlineStr">
        <is>
          <t>TC-LOGIN-005</t>
        </is>
      </c>
      <c r="C6" s="6" t="n"/>
      <c r="D6" s="6" t="n"/>
      <c r="E6" s="6" t="inlineStr">
        <is>
          <t>Chưa chạy project NUnit</t>
        </is>
      </c>
      <c r="F6" s="6" t="inlineStr">
        <is>
          <t>Not Run</t>
        </is>
      </c>
      <c r="G6" s="6" t="inlineStr">
        <is>
          <t>Chưa thực thi project kiểm thử</t>
        </is>
      </c>
      <c r="H6" s="6" t="n"/>
      <c r="I6" s="6" t="n"/>
    </row>
    <row r="7" ht="42" customHeight="1">
      <c r="A7" s="6" t="inlineStr">
        <is>
          <t>INITIAL</t>
        </is>
      </c>
      <c r="B7" s="6" t="inlineStr">
        <is>
          <t>TC-LOGIN-006</t>
        </is>
      </c>
      <c r="C7" s="6" t="n"/>
      <c r="D7" s="6" t="n"/>
      <c r="E7" s="6" t="inlineStr">
        <is>
          <t>Chưa chạy project NUnit</t>
        </is>
      </c>
      <c r="F7" s="6" t="inlineStr">
        <is>
          <t>Not Run</t>
        </is>
      </c>
      <c r="G7" s="6" t="inlineStr">
        <is>
          <t>Chưa thực thi project kiểm thử</t>
        </is>
      </c>
      <c r="H7" s="6" t="n"/>
      <c r="I7" s="6" t="n"/>
    </row>
    <row r="8" ht="54" customHeight="1">
      <c r="A8" s="6" t="inlineStr">
        <is>
          <t>20261008_154330</t>
        </is>
      </c>
      <c r="B8" s="6" t="inlineStr">
        <is>
          <t>TC-LOGIN-001</t>
        </is>
      </c>
      <c r="C8" s="6" t="inlineStr">
        <is>
          <t>2026-10-08 15:43:38.1586255+07:00</t>
        </is>
      </c>
      <c r="D8" s="6" t="inlineStr">
        <is>
          <t>Windows / Chrome / Headless</t>
        </is>
      </c>
      <c r="E8" s="6" t="inlineStr">
        <is>
          <t>Các assertion NUnit của test case đã đạt.</t>
        </is>
      </c>
      <c r="F8" s="6" t="inlineStr">
        <is>
          <t>Passed</t>
        </is>
      </c>
      <c r="G8" s="6" t="n"/>
      <c r="H8" s="6" t="n"/>
      <c r="I8" s="6" t="inlineStr">
        <is>
          <t>runs\20261008_154330\allure-results\60d4b19c11ec4c679b9e753f2246c9aa-result.json</t>
        </is>
      </c>
    </row>
    <row r="9" ht="54" customHeight="1">
      <c r="A9" s="6" t="inlineStr">
        <is>
          <t>20261008_154330</t>
        </is>
      </c>
      <c r="B9" s="6" t="inlineStr">
        <is>
          <t>TC-LOGIN-002</t>
        </is>
      </c>
      <c r="C9" s="6" t="inlineStr">
        <is>
          <t>2026-10-08 15:43:42.5273961+07:00</t>
        </is>
      </c>
      <c r="D9" s="6" t="inlineStr">
        <is>
          <t>Windows / Chrome / Headless</t>
        </is>
      </c>
      <c r="E9" s="6" t="inlineStr">
        <is>
          <t>Các assertion NUnit của test case đã đạt.</t>
        </is>
      </c>
      <c r="F9" s="6" t="inlineStr">
        <is>
          <t>Passed</t>
        </is>
      </c>
      <c r="G9" s="6" t="n"/>
      <c r="H9" s="6" t="n"/>
      <c r="I9" s="6" t="inlineStr">
        <is>
          <t>runs\20261008_154330\allure-results\cd74977f5e0948d58a29759ccd79beaf-result.json</t>
        </is>
      </c>
    </row>
    <row r="10" ht="54" customHeight="1">
      <c r="A10" s="6" t="inlineStr">
        <is>
          <t>20261008_154330</t>
        </is>
      </c>
      <c r="B10" s="6" t="inlineStr">
        <is>
          <t>TC-LOGIN-003</t>
        </is>
      </c>
      <c r="C10" s="6" t="inlineStr">
        <is>
          <t>2026-10-08 15:43:46.3926845+07:00</t>
        </is>
      </c>
      <c r="D10" s="6" t="inlineStr">
        <is>
          <t>Windows / Chrome / Headless</t>
        </is>
      </c>
      <c r="E10" s="6" t="inlineStr">
        <is>
          <t>Các assertion NUnit của test case đã đạt.</t>
        </is>
      </c>
      <c r="F10" s="6" t="inlineStr">
        <is>
          <t>Passed</t>
        </is>
      </c>
      <c r="G10" s="6" t="n"/>
      <c r="H10" s="6" t="n"/>
      <c r="I10" s="6" t="inlineStr">
        <is>
          <t>runs\20261008_154330\allure-results\f5f4f9f935d0435891c5dcfdaea9e5a4-result.json</t>
        </is>
      </c>
    </row>
    <row r="11" ht="54" customHeight="1">
      <c r="A11" s="6" t="inlineStr">
        <is>
          <t>20261008_154330</t>
        </is>
      </c>
      <c r="B11" s="6" t="inlineStr">
        <is>
          <t>TC-LOGIN-004</t>
        </is>
      </c>
      <c r="C11" s="6" t="inlineStr">
        <is>
          <t>2026-10-08 15:43:50.5057834+07:00</t>
        </is>
      </c>
      <c r="D11" s="6" t="inlineStr">
        <is>
          <t>Windows / Chrome / Headless</t>
        </is>
      </c>
      <c r="E11" s="6" t="inlineStr">
        <is>
          <t>Các assertion NUnit của test case đã đạt.</t>
        </is>
      </c>
      <c r="F11" s="6" t="inlineStr">
        <is>
          <t>Passed</t>
        </is>
      </c>
      <c r="G11" s="6" t="n"/>
      <c r="H11" s="6" t="n"/>
      <c r="I11" s="6" t="inlineStr">
        <is>
          <t>runs\20261008_154330\allure-results\1794afd17f964495a7794e26236e318c-result.json</t>
        </is>
      </c>
    </row>
    <row r="12" ht="54" customHeight="1">
      <c r="A12" s="6" t="inlineStr">
        <is>
          <t>20261008_154330</t>
        </is>
      </c>
      <c r="B12" s="6" t="inlineStr">
        <is>
          <t>TC-LOGIN-005</t>
        </is>
      </c>
      <c r="C12" s="6" t="inlineStr">
        <is>
          <t>2026-10-08 15:43:55.0106223+07:00</t>
        </is>
      </c>
      <c r="D12" s="6" t="inlineStr">
        <is>
          <t>Windows / Chrome / Headless</t>
        </is>
      </c>
      <c r="E12" s="6" t="inlineStr">
        <is>
          <t>Các assertion NUnit của test case đã đạt.</t>
        </is>
      </c>
      <c r="F12" s="6" t="inlineStr">
        <is>
          <t>Passed</t>
        </is>
      </c>
      <c r="G12" s="6" t="n"/>
      <c r="H12" s="6" t="n"/>
      <c r="I12" s="6" t="inlineStr">
        <is>
          <t>runs\20261008_154330\allure-results\7be3f5c6933944a7896db5dbda398f28-result.json</t>
        </is>
      </c>
    </row>
    <row r="13" ht="54" customHeight="1">
      <c r="A13" s="6" t="inlineStr">
        <is>
          <t>20261008_154330</t>
        </is>
      </c>
      <c r="B13" s="6" t="inlineStr">
        <is>
          <t>TC-LOGIN-006</t>
        </is>
      </c>
      <c r="C13" s="6" t="inlineStr">
        <is>
          <t>2026-10-08 15:43:58.8518076+07:00</t>
        </is>
      </c>
      <c r="D13" s="6" t="inlineStr">
        <is>
          <t>Windows / Chrome / Headless</t>
        </is>
      </c>
      <c r="E13" s="6" t="inlineStr">
        <is>
          <t>Các assertion NUnit của test case đã đạt.</t>
        </is>
      </c>
      <c r="F13" s="6" t="inlineStr">
        <is>
          <t>Passed</t>
        </is>
      </c>
      <c r="G13" s="6" t="n"/>
      <c r="H13" s="6" t="n"/>
      <c r="I13" s="6" t="inlineStr">
        <is>
          <t>runs\20261008_154330\allure-results\27d3a0b126ff404d980704252521f874-result.json</t>
        </is>
      </c>
    </row>
    <row r="14" ht="54" customHeight="1">
      <c r="A14" s="6" t="inlineStr">
        <is>
          <t>20261008_160636_919</t>
        </is>
      </c>
      <c r="B14" s="6" t="inlineStr">
        <is>
          <t>TC-LOGIN-001</t>
        </is>
      </c>
      <c r="C14" s="6" t="inlineStr">
        <is>
          <t>2026-10-08 16:06:40.7182864+07:00</t>
        </is>
      </c>
      <c r="D14" s="6" t="inlineStr">
        <is>
          <t>Windows / Chrome / Headless</t>
        </is>
      </c>
      <c r="E14" s="6" t="inlineStr">
        <is>
          <t>Các assertion NUnit của test case đã đạt.</t>
        </is>
      </c>
      <c r="F14" s="6" t="inlineStr">
        <is>
          <t>Passed</t>
        </is>
      </c>
      <c r="G14" s="6" t="n"/>
      <c r="H14" s="6" t="n"/>
      <c r="I14" s="6" t="inlineStr">
        <is>
          <t>runs\20261008_160636_919\allure-results\36c33302bbda40409f640300f5002c58-result.json</t>
        </is>
      </c>
    </row>
    <row r="15" ht="54" customHeight="1">
      <c r="A15" s="6" t="inlineStr">
        <is>
          <t>20261008_160636_919</t>
        </is>
      </c>
      <c r="B15" s="6" t="inlineStr">
        <is>
          <t>TC-LOGIN-002</t>
        </is>
      </c>
      <c r="C15" s="6" t="inlineStr">
        <is>
          <t>2026-10-08 16:06:45.1057303+07:00</t>
        </is>
      </c>
      <c r="D15" s="6" t="inlineStr">
        <is>
          <t>Windows / Chrome / Headless</t>
        </is>
      </c>
      <c r="E15" s="6" t="inlineStr">
        <is>
          <t>Các assertion NUnit của test case đã đạt.</t>
        </is>
      </c>
      <c r="F15" s="6" t="inlineStr">
        <is>
          <t>Passed</t>
        </is>
      </c>
      <c r="G15" s="6" t="n"/>
      <c r="H15" s="6" t="n"/>
      <c r="I15" s="6" t="inlineStr">
        <is>
          <t>runs\20261008_160636_919\allure-results\a2eccaeb89d24644a7d62647119c92f9-result.json</t>
        </is>
      </c>
    </row>
    <row r="16" ht="54" customHeight="1">
      <c r="A16" s="6" t="inlineStr">
        <is>
          <t>20261008_160636_919</t>
        </is>
      </c>
      <c r="B16" s="6" t="inlineStr">
        <is>
          <t>TC-LOGIN-003</t>
        </is>
      </c>
      <c r="C16" s="6" t="inlineStr">
        <is>
          <t>2026-10-08 16:06:50.3836309+07:00</t>
        </is>
      </c>
      <c r="D16" s="6" t="inlineStr">
        <is>
          <t>Windows / Chrome / Headless</t>
        </is>
      </c>
      <c r="E16" s="6" t="inlineStr">
        <is>
          <t>Các assertion NUnit của test case đã đạt.</t>
        </is>
      </c>
      <c r="F16" s="6" t="inlineStr">
        <is>
          <t>Passed</t>
        </is>
      </c>
      <c r="G16" s="6" t="n"/>
      <c r="H16" s="6" t="n"/>
      <c r="I16" s="6" t="inlineStr">
        <is>
          <t>runs\20261008_160636_919\allure-results\184836353ee64215b2e5f6846691ca67-result.json</t>
        </is>
      </c>
    </row>
    <row r="17" ht="54" customHeight="1">
      <c r="A17" s="6" t="inlineStr">
        <is>
          <t>20261008_160636_919</t>
        </is>
      </c>
      <c r="B17" s="6" t="inlineStr">
        <is>
          <t>TC-LOGIN-004</t>
        </is>
      </c>
      <c r="C17" s="6" t="inlineStr">
        <is>
          <t>2026-10-08 16:06:56.1301221+07:00</t>
        </is>
      </c>
      <c r="D17" s="6" t="inlineStr">
        <is>
          <t>Windows / Chrome / Headless</t>
        </is>
      </c>
      <c r="E17" s="6" t="inlineStr">
        <is>
          <t>Các assertion NUnit của test case đã đạt.</t>
        </is>
      </c>
      <c r="F17" s="6" t="inlineStr">
        <is>
          <t>Passed</t>
        </is>
      </c>
      <c r="G17" s="6" t="n"/>
      <c r="H17" s="6" t="n"/>
      <c r="I17" s="6" t="inlineStr">
        <is>
          <t>runs\20261008_160636_919\allure-results\090d65d954814a6cb86b41dcf4361fd4-result.json</t>
        </is>
      </c>
    </row>
    <row r="18" ht="54" customHeight="1">
      <c r="A18" s="6" t="inlineStr">
        <is>
          <t>20261008_160636_919</t>
        </is>
      </c>
      <c r="B18" s="6" t="inlineStr">
        <is>
          <t>TC-LOGIN-005</t>
        </is>
      </c>
      <c r="C18" s="6" t="inlineStr">
        <is>
          <t>2026-10-08 16:07:01.7257538+07:00</t>
        </is>
      </c>
      <c r="D18" s="6" t="inlineStr">
        <is>
          <t>Windows / Chrome / Headless</t>
        </is>
      </c>
      <c r="E18" s="6" t="inlineStr">
        <is>
          <t>Các assertion NUnit của test case đã đạt.</t>
        </is>
      </c>
      <c r="F18" s="6" t="inlineStr">
        <is>
          <t>Passed</t>
        </is>
      </c>
      <c r="G18" s="6" t="n"/>
      <c r="H18" s="6" t="n"/>
      <c r="I18" s="6" t="inlineStr">
        <is>
          <t>runs\20261008_160636_919\allure-results\0365eaf4b72d4a26b5336e216a03e659-result.json</t>
        </is>
      </c>
    </row>
    <row r="19" ht="54" customHeight="1">
      <c r="A19" s="6" t="inlineStr">
        <is>
          <t>20261008_160636_919</t>
        </is>
      </c>
      <c r="B19" s="6" t="inlineStr">
        <is>
          <t>TC-LOGIN-006</t>
        </is>
      </c>
      <c r="C19" s="6" t="inlineStr">
        <is>
          <t>2026-10-08 16:07:09.3345589+07:00</t>
        </is>
      </c>
      <c r="D19" s="6" t="inlineStr">
        <is>
          <t>Windows / Chrome / Headless</t>
        </is>
      </c>
      <c r="E19" s="6" t="inlineStr">
        <is>
          <t>Các assertion NUnit của test case đã đạt.</t>
        </is>
      </c>
      <c r="F19" s="6" t="inlineStr">
        <is>
          <t>Passed</t>
        </is>
      </c>
      <c r="G19" s="6" t="n"/>
      <c r="H19" s="6" t="n"/>
      <c r="I19" s="6" t="inlineStr">
        <is>
          <t>runs\20261008_160636_919\allure-results\423dc554746c48e19c336a54a6bbe11f-result.json</t>
        </is>
      </c>
    </row>
    <row r="20" ht="54" customHeight="1">
      <c r="A20" s="6" t="inlineStr">
        <is>
          <t>20261008_160659_871</t>
        </is>
      </c>
      <c r="B20" s="6" t="inlineStr">
        <is>
          <t>TC-LOGIN-001</t>
        </is>
      </c>
      <c r="C20" s="6" t="inlineStr">
        <is>
          <t>2026-10-08T16:07:06.1200821+07:00</t>
        </is>
      </c>
      <c r="D20" s="6" t="inlineStr">
        <is>
          <t>Windows / Chrome / Headless</t>
        </is>
      </c>
      <c r="E20" s="6" t="inlineStr">
        <is>
          <t>Các assertion NUnit của test case đã đạt.</t>
        </is>
      </c>
      <c r="F20" s="6" t="inlineStr">
        <is>
          <t>Passed</t>
        </is>
      </c>
      <c r="G20" s="6" t="inlineStr"/>
      <c r="H20" s="6" t="inlineStr"/>
      <c r="I20" s="6" t="inlineStr">
        <is>
          <t>runs\20261008_160659_871\allure-results\1ebdf8e370bb40d0b8e27e3e311d7a3e-result.json</t>
        </is>
      </c>
    </row>
    <row r="21" ht="54" customHeight="1">
      <c r="A21" s="6" t="inlineStr">
        <is>
          <t>20261008_160659_871</t>
        </is>
      </c>
      <c r="B21" s="6" t="inlineStr">
        <is>
          <t>TC-LOGIN-002</t>
        </is>
      </c>
      <c r="C21" s="6" t="inlineStr">
        <is>
          <t>2026-10-08T16:07:14.3769414+07:00</t>
        </is>
      </c>
      <c r="D21" s="6" t="inlineStr">
        <is>
          <t>Windows / Chrome / Headless</t>
        </is>
      </c>
      <c r="E21" s="6" t="inlineStr">
        <is>
          <t>Các assertion NUnit của test case đã đạt.</t>
        </is>
      </c>
      <c r="F21" s="6" t="inlineStr">
        <is>
          <t>Passed</t>
        </is>
      </c>
      <c r="G21" s="6" t="inlineStr"/>
      <c r="H21" s="6" t="inlineStr"/>
      <c r="I21" s="6" t="inlineStr">
        <is>
          <t>runs\20261008_160659_871\allure-results\198f28bcabf64c018e618d617ab09c22-result.json</t>
        </is>
      </c>
    </row>
    <row r="22" ht="54" customHeight="1">
      <c r="A22" s="6" t="inlineStr">
        <is>
          <t>20261008_160659_871</t>
        </is>
      </c>
      <c r="B22" s="6" t="inlineStr">
        <is>
          <t>TC-LOGIN-003</t>
        </is>
      </c>
      <c r="C22" s="6" t="inlineStr">
        <is>
          <t>2026-10-08T16:07:19.1302459+07:00</t>
        </is>
      </c>
      <c r="D22" s="6" t="inlineStr">
        <is>
          <t>Windows / Chrome / Headless</t>
        </is>
      </c>
      <c r="E22" s="6" t="inlineStr">
        <is>
          <t>Các assertion NUnit của test case đã đạt.</t>
        </is>
      </c>
      <c r="F22" s="6" t="inlineStr">
        <is>
          <t>Passed</t>
        </is>
      </c>
      <c r="G22" s="6" t="inlineStr"/>
      <c r="H22" s="6" t="inlineStr"/>
      <c r="I22" s="6" t="inlineStr">
        <is>
          <t>runs\20261008_160659_871\allure-results\3360454e07214a78be4ab143df0f648d-result.json</t>
        </is>
      </c>
    </row>
    <row r="23" ht="54" customHeight="1">
      <c r="A23" s="6" t="inlineStr">
        <is>
          <t>20261008_160659_871</t>
        </is>
      </c>
      <c r="B23" s="6" t="inlineStr">
        <is>
          <t>TC-LOGIN-004</t>
        </is>
      </c>
      <c r="C23" s="6" t="inlineStr">
        <is>
          <t>2026-10-08T16:07:24.5963049+07:00</t>
        </is>
      </c>
      <c r="D23" s="6" t="inlineStr">
        <is>
          <t>Windows / Chrome / Headless</t>
        </is>
      </c>
      <c r="E23" s="6" t="inlineStr">
        <is>
          <t>Các assertion NUnit của test case đã đạt.</t>
        </is>
      </c>
      <c r="F23" s="6" t="inlineStr">
        <is>
          <t>Passed</t>
        </is>
      </c>
      <c r="G23" s="6" t="inlineStr"/>
      <c r="H23" s="6" t="inlineStr"/>
      <c r="I23" s="6" t="inlineStr">
        <is>
          <t>runs\20261008_160659_871\allure-results\7884fffa77be44fea2c9e01f55b38568-result.json</t>
        </is>
      </c>
    </row>
    <row r="24" ht="54" customHeight="1">
      <c r="A24" s="6" t="inlineStr">
        <is>
          <t>20261008_160659_871</t>
        </is>
      </c>
      <c r="B24" s="6" t="inlineStr">
        <is>
          <t>TC-LOGIN-005</t>
        </is>
      </c>
      <c r="C24" s="6" t="inlineStr">
        <is>
          <t>2026-10-08T16:07:29.3004421+07:00</t>
        </is>
      </c>
      <c r="D24" s="6" t="inlineStr">
        <is>
          <t>Windows / Chrome / Headless</t>
        </is>
      </c>
      <c r="E24" s="6" t="inlineStr">
        <is>
          <t>Các assertion NUnit của test case đã đạt.</t>
        </is>
      </c>
      <c r="F24" s="6" t="inlineStr">
        <is>
          <t>Passed</t>
        </is>
      </c>
      <c r="G24" s="6" t="inlineStr"/>
      <c r="H24" s="6" t="inlineStr"/>
      <c r="I24" s="6" t="inlineStr">
        <is>
          <t>runs\20261008_160659_871\allure-results\405000e37b5d44f7a525df60f65fa49a-result.json</t>
        </is>
      </c>
    </row>
    <row r="25" ht="54" customHeight="1">
      <c r="A25" s="6" t="inlineStr">
        <is>
          <t>20261008_160659_871</t>
        </is>
      </c>
      <c r="B25" s="6" t="inlineStr">
        <is>
          <t>TC-LOGIN-006</t>
        </is>
      </c>
      <c r="C25" s="6" t="inlineStr">
        <is>
          <t>2026-10-08T16:07:34.0826168+07:00</t>
        </is>
      </c>
      <c r="D25" s="6" t="inlineStr">
        <is>
          <t>Windows / Chrome / Headless</t>
        </is>
      </c>
      <c r="E25" s="6" t="inlineStr">
        <is>
          <t>Các assertion NUnit của test case đã đạt.</t>
        </is>
      </c>
      <c r="F25" s="6" t="inlineStr">
        <is>
          <t>Passed</t>
        </is>
      </c>
      <c r="G25" s="6" t="inlineStr"/>
      <c r="H25" s="6" t="inlineStr"/>
      <c r="I25" s="6" t="inlineStr">
        <is>
          <t>runs\20261008_160659_871\allure-results\3142c2edbbd14efc863f17b370af4e69-result.json</t>
        </is>
      </c>
    </row>
    <row r="26" ht="54" customHeight="1">
      <c r="A26" s="2" t="inlineStr">
        <is>
          <t>20261008_162923_814</t>
        </is>
      </c>
      <c r="B26" s="2" t="inlineStr">
        <is>
          <t>TC-LOGIN-001</t>
        </is>
      </c>
      <c r="C26" s="2" t="inlineStr">
        <is>
          <t>2026-10-08 16:29:27.5868574+07:00</t>
        </is>
      </c>
      <c r="D26" s="2" t="inlineStr">
        <is>
          <t>Windows / Chrome / Headless</t>
        </is>
      </c>
      <c r="E26" s="2" t="inlineStr">
        <is>
          <t>Các assertion NUnit của test case đã đạt.</t>
        </is>
      </c>
      <c r="F26" s="2" t="inlineStr">
        <is>
          <t>Passed</t>
        </is>
      </c>
      <c r="G26" s="2" t="inlineStr"/>
      <c r="H26" s="2" t="inlineStr"/>
      <c r="I26" s="2" t="inlineStr">
        <is>
          <t>runs\20261008_162923_814\allure-results\7b44a04c71704b53847ed9dc715f899e-result.json</t>
        </is>
      </c>
    </row>
    <row r="27" ht="54" customHeight="1">
      <c r="A27" s="2" t="inlineStr">
        <is>
          <t>20261008_162923_814</t>
        </is>
      </c>
      <c r="B27" s="2" t="inlineStr">
        <is>
          <t>TC-LOGIN-002</t>
        </is>
      </c>
      <c r="C27" s="2" t="inlineStr">
        <is>
          <t>2026-10-08 16:29:32.0087023+07:00</t>
        </is>
      </c>
      <c r="D27" s="2" t="inlineStr">
        <is>
          <t>Windows / Chrome / Headless</t>
        </is>
      </c>
      <c r="E27" s="2" t="inlineStr">
        <is>
          <t>Các assertion NUnit của test case đã đạt.</t>
        </is>
      </c>
      <c r="F27" s="2" t="inlineStr">
        <is>
          <t>Passed</t>
        </is>
      </c>
      <c r="G27" s="2" t="inlineStr"/>
      <c r="H27" s="2" t="inlineStr"/>
      <c r="I27" s="2" t="inlineStr">
        <is>
          <t>runs\20261008_162923_814\allure-results\53a60e7398574292aec22dd0d4289276-result.json</t>
        </is>
      </c>
    </row>
    <row r="28" ht="54" customHeight="1">
      <c r="A28" s="2" t="inlineStr">
        <is>
          <t>20261008_162923_814</t>
        </is>
      </c>
      <c r="B28" s="2" t="inlineStr">
        <is>
          <t>TC-LOGIN-003</t>
        </is>
      </c>
      <c r="C28" s="2" t="inlineStr">
        <is>
          <t>2026-10-08 16:29:35.7027506+07:00</t>
        </is>
      </c>
      <c r="D28" s="2" t="inlineStr">
        <is>
          <t>Windows / Chrome / Headless</t>
        </is>
      </c>
      <c r="E28" s="2" t="inlineStr">
        <is>
          <t>Các assertion NUnit của test case đã đạt.</t>
        </is>
      </c>
      <c r="F28" s="2" t="inlineStr">
        <is>
          <t>Passed</t>
        </is>
      </c>
      <c r="G28" s="2" t="inlineStr"/>
      <c r="H28" s="2" t="inlineStr"/>
      <c r="I28" s="2" t="inlineStr">
        <is>
          <t>runs\20261008_162923_814\allure-results\8aecac7e259249d1a46950c097ec9f35-result.json</t>
        </is>
      </c>
    </row>
    <row r="29" ht="54" customHeight="1">
      <c r="A29" s="2" t="inlineStr">
        <is>
          <t>20261008_162923_814</t>
        </is>
      </c>
      <c r="B29" s="2" t="inlineStr">
        <is>
          <t>TC-LOGIN-004</t>
        </is>
      </c>
      <c r="C29" s="2" t="inlineStr">
        <is>
          <t>2026-10-08 16:29:40.1512447+07:00</t>
        </is>
      </c>
      <c r="D29" s="2" t="inlineStr">
        <is>
          <t>Windows / Chrome / Headless</t>
        </is>
      </c>
      <c r="E29" s="2" t="inlineStr">
        <is>
          <t>Các assertion NUnit của test case đã đạt.</t>
        </is>
      </c>
      <c r="F29" s="2" t="inlineStr">
        <is>
          <t>Passed</t>
        </is>
      </c>
      <c r="G29" s="2" t="inlineStr"/>
      <c r="H29" s="2" t="inlineStr"/>
      <c r="I29" s="2" t="inlineStr">
        <is>
          <t>runs\20261008_162923_814\allure-results\c8caf98c3e3b4efdbd8ede078d73e745-result.json</t>
        </is>
      </c>
    </row>
    <row r="30" ht="54" customHeight="1">
      <c r="A30" s="2" t="inlineStr">
        <is>
          <t>20261008_162923_814</t>
        </is>
      </c>
      <c r="B30" s="2" t="inlineStr">
        <is>
          <t>TC-LOGIN-005</t>
        </is>
      </c>
      <c r="C30" s="2" t="inlineStr">
        <is>
          <t>2026-10-08 16:29:44.6176488+07:00</t>
        </is>
      </c>
      <c r="D30" s="2" t="inlineStr">
        <is>
          <t>Windows / Chrome / Headless</t>
        </is>
      </c>
      <c r="E30" s="2" t="inlineStr">
        <is>
          <t>Các assertion NUnit của test case đã đạt.</t>
        </is>
      </c>
      <c r="F30" s="2" t="inlineStr">
        <is>
          <t>Passed</t>
        </is>
      </c>
      <c r="G30" s="2" t="inlineStr"/>
      <c r="H30" s="2" t="inlineStr"/>
      <c r="I30" s="2" t="inlineStr">
        <is>
          <t>runs\20261008_162923_814\allure-results\cb3187b9ffd8407f9cedf31fd76e85cc-result.json</t>
        </is>
      </c>
    </row>
    <row r="31" ht="54" customHeight="1">
      <c r="A31" s="2" t="inlineStr">
        <is>
          <t>20261008_162923_814</t>
        </is>
      </c>
      <c r="B31" s="2" t="inlineStr">
        <is>
          <t>TC-LOGIN-006</t>
        </is>
      </c>
      <c r="C31" s="2" t="inlineStr">
        <is>
          <t>2026-10-08 16:29:49.3565353+07:00</t>
        </is>
      </c>
      <c r="D31" s="2" t="inlineStr">
        <is>
          <t>Windows / Chrome / Headless</t>
        </is>
      </c>
      <c r="E31" s="2" t="inlineStr">
        <is>
          <t>Các assertion NUnit của test case đã đạt.</t>
        </is>
      </c>
      <c r="F31" s="2" t="inlineStr">
        <is>
          <t>Passed</t>
        </is>
      </c>
      <c r="G31" s="2" t="inlineStr"/>
      <c r="H31" s="2" t="inlineStr"/>
      <c r="I31" s="2" t="inlineStr">
        <is>
          <t>runs\20261008_162923_814\allure-results\a2a69f6480004b8aad366c172d9adbb1-result.json</t>
        </is>
      </c>
    </row>
  </sheetData>
  <autoFilter ref="A1:I31"/>
  <conditionalFormatting sqref="F2:F5000">
    <cfRule type="cellIs" priority="1" operator="equal">
      <formula>"Not Run"</formula>
    </cfRule>
    <cfRule type="cellIs" priority="2" operator="equal">
      <formula>"Passed"</formula>
    </cfRule>
    <cfRule type="cellIs" priority="3" operator="equal">
      <formula>"Failed"</formula>
    </cfRule>
    <cfRule type="cellIs" priority="4" operator="equal">
      <formula>"Blocked"</formula>
    </cfRule>
    <cfRule type="cellIs" priority="5" operator="equal">
      <formula>"Skipped"</formula>
    </cfRule>
  </conditionalFormatting>
  <dataValidations count="1">
    <dataValidation sqref="F2:F5000" showDropDown="0" showInputMessage="0" showErrorMessage="0" allowBlank="0" errorTitle="" error="" promptTitle="" prompt="" type="list" errorStyle="stop" operator="between">
      <formula1>"Not Run,Passed,Failed,Blocked,Skipped"</formula1>
    </dataValidation>
  </dataValidations>
  <printOptions horizontalCentered="0" verticalCentered="0" headings="0" gridLines="0"/>
  <pageMargins left="0.75" right="0.75" top="1" bottom="1" header="0.5" footer="0.5"/>
  <pageSetup orientation="default" paperSize="1" scale="100" pageOrder="downThenOver" blackAndWhite="0" draft="0" errors="displayed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ColWidth="9.140625" defaultRowHeight="15"/>
  <cols>
    <col width="70" customWidth="1" min="1" max="1"/>
    <col width="24" customWidth="1" min="2" max="2"/>
  </cols>
  <sheetData>
    <row r="1" ht="32" customHeight="1">
      <c r="A1" s="7" t="inlineStr">
        <is>
          <t>TỔNG HỢP KIỂM THỬ ĐĂNG NHẬP UTC</t>
        </is>
      </c>
    </row>
    <row r="3">
      <c r="A3" t="inlineStr">
        <is>
          <t>Tổng số test case</t>
        </is>
      </c>
      <c r="B3">
        <f>COUNTA(TestCases!A2:A5000)</f>
        <v/>
      </c>
    </row>
    <row r="5">
      <c r="A5" s="8" t="inlineStr">
        <is>
          <t>Mức ưu tiên</t>
        </is>
      </c>
      <c r="B5" s="8" t="inlineStr">
        <is>
          <t>Số lượng</t>
        </is>
      </c>
    </row>
    <row r="6">
      <c r="A6" t="inlineStr">
        <is>
          <t>Critical</t>
        </is>
      </c>
      <c r="B6">
        <f>COUNTIF(TestCases!K2:K5000,A6)</f>
        <v/>
      </c>
    </row>
    <row r="7">
      <c r="A7" t="inlineStr">
        <is>
          <t>Normal</t>
        </is>
      </c>
      <c r="B7">
        <f>COUNTIF(TestCases!K2:K5000,A7)</f>
        <v/>
      </c>
    </row>
    <row r="9">
      <c r="A9" t="inlineStr">
        <is>
          <t>Run ID gần nhất</t>
        </is>
      </c>
      <c r="B9">
        <f>IFERROR(LOOKUP(2,1/(Execution!A2:A5000&lt;&gt;""),Execution!A2:A5000),"")</f>
        <v/>
      </c>
    </row>
    <row r="11">
      <c r="A11" s="8" t="inlineStr">
        <is>
          <t>Trạng thái</t>
        </is>
      </c>
      <c r="B11" s="8" t="inlineStr">
        <is>
          <t>Số lượng</t>
        </is>
      </c>
    </row>
    <row r="12">
      <c r="A12" t="inlineStr">
        <is>
          <t>Not Run</t>
        </is>
      </c>
      <c r="B12">
        <f>COUNTIFS(Execution!A2:A5000,$B$9,Execution!F2:F5000,A12)</f>
        <v/>
      </c>
    </row>
    <row r="13">
      <c r="A13" t="inlineStr">
        <is>
          <t>Passed</t>
        </is>
      </c>
      <c r="B13">
        <f>COUNTIFS(Execution!A2:A5000,$B$9,Execution!F2:F5000,A13)</f>
        <v/>
      </c>
    </row>
    <row r="14">
      <c r="A14" t="inlineStr">
        <is>
          <t>Failed</t>
        </is>
      </c>
      <c r="B14">
        <f>COUNTIFS(Execution!A2:A5000,$B$9,Execution!F2:F5000,A14)</f>
        <v/>
      </c>
    </row>
    <row r="15">
      <c r="A15" t="inlineStr">
        <is>
          <t>Blocked</t>
        </is>
      </c>
      <c r="B15">
        <f>COUNTIFS(Execution!A2:A5000,$B$9,Execution!F2:F5000,A15)</f>
        <v/>
      </c>
    </row>
    <row r="16">
      <c r="A16" t="inlineStr">
        <is>
          <t>Skipped</t>
        </is>
      </c>
      <c r="B16">
        <f>COUNTIFS(Execution!A2:A5000,$B$9,Execution!F2:F5000,A16)</f>
        <v/>
      </c>
    </row>
    <row r="18">
      <c r="A18" t="inlineStr">
        <is>
          <t>Chỉ tính các dòng của Run ID gần nhất. Dòng INITIAL lưu trạng thái ban đầu.</t>
        </is>
      </c>
    </row>
  </sheetData>
  <mergeCells count="1">
    <mergeCell ref="A1:B1"/>
  </mergeCells>
  <printOptions horizontalCentered="0" verticalCentered="0" headings="0" gridLines="0"/>
  <pageMargins left="0.75" right="0.75" top="1" bottom="1" header="0.5" footer="0.5"/>
  <pageSetup orientation="default" paperSize="1" scale="100" pageOrder="downThenOver" blackAndWhite="0" draft="0" errors="displayed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2026-10-08T08:42:27Z</dcterms:created>
  <dcterms:modified xsi:type="dcterms:W3CDTF">2026-10-08T09:29:53Z</dcterms:modified>
</cp:coreProperties>
</file>